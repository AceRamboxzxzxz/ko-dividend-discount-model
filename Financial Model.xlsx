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4425e4b4612bc5/Documents/"/>
    </mc:Choice>
  </mc:AlternateContent>
  <xr:revisionPtr revIDLastSave="304" documentId="8_{E0A25F0F-0A3E-4155-BEBC-B5288FFA55D8}" xr6:coauthVersionLast="47" xr6:coauthVersionMax="47" xr10:uidLastSave="{2C9192F8-A044-47DE-A544-AC54399E5FBA}"/>
  <bookViews>
    <workbookView xWindow="930" yWindow="225" windowWidth="27150" windowHeight="15150" xr2:uid="{33D2E295-9FDB-4671-A6B3-257D1A1D62F8}"/>
  </bookViews>
  <sheets>
    <sheet name="Raw Data" sheetId="1" r:id="rId1"/>
    <sheet name="Assumptions" sheetId="2" r:id="rId2"/>
    <sheet name="Valu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3" i="3"/>
  <c r="B2" i="3"/>
  <c r="B4" i="3"/>
  <c r="B4" i="2"/>
  <c r="B2" i="2" a="1"/>
  <c r="B2" i="2" s="1"/>
  <c r="C36" i="1"/>
  <c r="C37" i="1"/>
  <c r="C38" i="1"/>
  <c r="C39" i="1"/>
  <c r="C40" i="1"/>
  <c r="C3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A34" i="1" l="1" a="1"/>
  <c r="A34" i="1" l="1"/>
  <c r="B36" i="1"/>
  <c r="B40" i="1"/>
  <c r="B38" i="1"/>
  <c r="B39" i="1"/>
  <c r="B37" i="1"/>
  <c r="B35" i="1"/>
  <c r="B3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<sst xmlns="http://schemas.openxmlformats.org/spreadsheetml/2006/main" count="31" uniqueCount="27">
  <si>
    <t>Date</t>
  </si>
  <si>
    <t>Year</t>
  </si>
  <si>
    <t xml:space="preserve"> Dividends ($)</t>
  </si>
  <si>
    <t>Raw Quarterly Dividend Data — Coca-Cola (KO)</t>
  </si>
  <si>
    <t>Annual Dividend Summary</t>
  </si>
  <si>
    <t>Annual Dividend ($)</t>
  </si>
  <si>
    <t>YoY Growth</t>
  </si>
  <si>
    <t>Assumption</t>
  </si>
  <si>
    <t>Value</t>
  </si>
  <si>
    <t>Latest Annual Dividend (D₀)</t>
  </si>
  <si>
    <t>Dividend Growth Rate (g)</t>
  </si>
  <si>
    <t>Required Return (r)</t>
  </si>
  <si>
    <r>
      <t>Risk Free Rate (r</t>
    </r>
    <r>
      <rPr>
        <sz val="8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</t>
    </r>
  </si>
  <si>
    <t>Market Risk Premium</t>
  </si>
  <si>
    <t>Beta (KO)</t>
  </si>
  <si>
    <t>Notes</t>
  </si>
  <si>
    <t>Last completed fiscal year</t>
  </si>
  <si>
    <t>CAPM</t>
  </si>
  <si>
    <t>10Y U.S. Treasury (approx.)</t>
  </si>
  <si>
    <t>Standard academic assumption</t>
  </si>
  <si>
    <t>Low-volatility consumer staples</t>
  </si>
  <si>
    <t>“Average historical dividend growth (2016–2020), capped at 4% for long-run sustainability.”</t>
  </si>
  <si>
    <t>Item</t>
  </si>
  <si>
    <t>Current Dividend (D₀)</t>
  </si>
  <si>
    <t>Next Year Dividend (D₁)</t>
  </si>
  <si>
    <t>Intrinsic Value (Gordon Growth)</t>
  </si>
  <si>
    <r>
      <rPr>
        <b/>
        <sz val="11"/>
        <color theme="1"/>
        <rFont val="Aptos Narrow"/>
        <family val="2"/>
        <scheme val="minor"/>
      </rPr>
      <t>Interpretation:</t>
    </r>
    <r>
      <rPr>
        <sz val="11"/>
        <color theme="1"/>
        <rFont val="Aptos Narrow"/>
        <family val="2"/>
        <scheme val="minor"/>
      </rPr>
      <t xml:space="preserve">
Using a Gordon Growth dividend discount model with a 4% long-run dividend growth rate and a 7% required return, Coca-Cola’s intrinsic value is estimated at approximately $56.85 per share. Compared to the current market price of $71.44 (as of 1/14/2026), the stock appears overvalued under these conservative dividend-based assumptions. This difference suggests that the market may be pricing in lower risk, higher growth, or additional value beyond dividends.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</si>
</sst>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1">
    <xf numFmtId="0" fontId="0" fillId="0" borderId="0" xfId="0"/>
    <xf numFmtId="15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2" fontId="1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4" fillId="2" borderId="1" xfId="0" applyNumberFormat="1" applyFont="1" applyFill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2" fontId="0" fillId="0" borderId="0" xfId="2" applyNumberFormat="1" applyFont="1"/>
    <xf numFmtId="44" fontId="0" fillId="0" borderId="0" xfId="1" applyFont="1"/>
    <xf numFmtId="0" fontId="6" fillId="0" borderId="0" xfId="0" applyFont="1"/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E0A5-EC16-4DE8-9C1D-826CA9514E2A}">
  <dimension ref="A1:E43"/>
  <sheetViews>
    <sheetView tabSelected="1" workbookViewId="0">
      <selection activeCell="G9" sqref="G9"/>
    </sheetView>
  </sheetViews>
  <sheetFormatPr defaultRowHeight="15" x14ac:dyDescent="0.25"/>
  <cols>
    <col min="1" max="1" width="25.85546875" bestFit="1" customWidth="1"/>
    <col min="2" max="2" width="18.5703125" style="7" bestFit="1" customWidth="1"/>
    <col min="3" max="3" width="12.140625" style="4" bestFit="1" customWidth="1"/>
  </cols>
  <sheetData>
    <row r="1" spans="1:5" x14ac:dyDescent="0.25">
      <c r="A1" s="20" t="s">
        <v>3</v>
      </c>
      <c r="B1" s="20"/>
      <c r="C1" s="20"/>
      <c r="D1" s="8"/>
    </row>
    <row r="2" spans="1:5" x14ac:dyDescent="0.25">
      <c r="A2" s="2" t="s">
        <v>0</v>
      </c>
      <c r="B2" s="5" t="s">
        <v>1</v>
      </c>
      <c r="C2" s="13" t="s">
        <v>2</v>
      </c>
      <c r="E2" s="14"/>
    </row>
    <row r="3" spans="1:5" x14ac:dyDescent="0.25">
      <c r="A3" s="1">
        <v>44361</v>
      </c>
      <c r="B3" s="6">
        <f t="shared" ref="B3:B28" si="0">YEAR(A3)</f>
        <v>2021</v>
      </c>
      <c r="C3" s="3">
        <v>0.42</v>
      </c>
    </row>
    <row r="4" spans="1:5" x14ac:dyDescent="0.25">
      <c r="A4" s="1">
        <v>44267</v>
      </c>
      <c r="B4" s="6">
        <f t="shared" si="0"/>
        <v>2021</v>
      </c>
      <c r="C4" s="3">
        <v>0.42</v>
      </c>
    </row>
    <row r="5" spans="1:5" x14ac:dyDescent="0.25">
      <c r="A5" s="1">
        <v>44165</v>
      </c>
      <c r="B5" s="6">
        <f t="shared" si="0"/>
        <v>2020</v>
      </c>
      <c r="C5" s="3">
        <v>0.41</v>
      </c>
    </row>
    <row r="6" spans="1:5" x14ac:dyDescent="0.25">
      <c r="A6" s="1">
        <v>44088</v>
      </c>
      <c r="B6" s="6">
        <f t="shared" si="0"/>
        <v>2020</v>
      </c>
      <c r="C6" s="3">
        <v>0.41</v>
      </c>
    </row>
    <row r="7" spans="1:5" x14ac:dyDescent="0.25">
      <c r="A7" s="1">
        <v>43994</v>
      </c>
      <c r="B7" s="6">
        <f t="shared" si="0"/>
        <v>2020</v>
      </c>
      <c r="C7" s="3">
        <v>0.41</v>
      </c>
    </row>
    <row r="8" spans="1:5" x14ac:dyDescent="0.25">
      <c r="A8" s="1">
        <v>43903</v>
      </c>
      <c r="B8" s="6">
        <f t="shared" si="0"/>
        <v>2020</v>
      </c>
      <c r="C8" s="3">
        <v>0.41</v>
      </c>
    </row>
    <row r="9" spans="1:5" x14ac:dyDescent="0.25">
      <c r="A9" s="1">
        <v>43798</v>
      </c>
      <c r="B9" s="6">
        <f t="shared" si="0"/>
        <v>2019</v>
      </c>
      <c r="C9" s="3">
        <v>0.4</v>
      </c>
    </row>
    <row r="10" spans="1:5" x14ac:dyDescent="0.25">
      <c r="A10" s="1">
        <v>43721</v>
      </c>
      <c r="B10" s="6">
        <f t="shared" si="0"/>
        <v>2019</v>
      </c>
      <c r="C10" s="3">
        <v>0.4</v>
      </c>
    </row>
    <row r="11" spans="1:5" x14ac:dyDescent="0.25">
      <c r="A11" s="1">
        <v>43629</v>
      </c>
      <c r="B11" s="6">
        <f t="shared" si="0"/>
        <v>2019</v>
      </c>
      <c r="C11" s="3">
        <v>0.4</v>
      </c>
    </row>
    <row r="12" spans="1:5" x14ac:dyDescent="0.25">
      <c r="A12" s="1">
        <v>43538</v>
      </c>
      <c r="B12" s="6">
        <f t="shared" si="0"/>
        <v>2019</v>
      </c>
      <c r="C12" s="3">
        <v>0.4</v>
      </c>
      <c r="E12" s="14"/>
    </row>
    <row r="13" spans="1:5" x14ac:dyDescent="0.25">
      <c r="A13" s="1">
        <v>43433</v>
      </c>
      <c r="B13" s="6">
        <f t="shared" si="0"/>
        <v>2018</v>
      </c>
      <c r="C13" s="3">
        <v>0.39</v>
      </c>
    </row>
    <row r="14" spans="1:5" x14ac:dyDescent="0.25">
      <c r="A14" s="1">
        <v>43356</v>
      </c>
      <c r="B14" s="6">
        <f t="shared" si="0"/>
        <v>2018</v>
      </c>
      <c r="C14" s="3">
        <v>0.39</v>
      </c>
    </row>
    <row r="15" spans="1:5" x14ac:dyDescent="0.25">
      <c r="A15" s="1">
        <v>43265</v>
      </c>
      <c r="B15" s="6">
        <f t="shared" si="0"/>
        <v>2018</v>
      </c>
      <c r="C15" s="3">
        <v>0.39</v>
      </c>
    </row>
    <row r="16" spans="1:5" x14ac:dyDescent="0.25">
      <c r="A16" s="1">
        <v>43173</v>
      </c>
      <c r="B16" s="6">
        <f t="shared" si="0"/>
        <v>2018</v>
      </c>
      <c r="C16" s="3">
        <v>0.39</v>
      </c>
    </row>
    <row r="17" spans="1:3" x14ac:dyDescent="0.25">
      <c r="A17" s="1">
        <v>43069</v>
      </c>
      <c r="B17" s="6">
        <f t="shared" si="0"/>
        <v>2017</v>
      </c>
      <c r="C17" s="3">
        <v>0.37</v>
      </c>
    </row>
    <row r="18" spans="1:3" x14ac:dyDescent="0.25">
      <c r="A18" s="1">
        <v>42992</v>
      </c>
      <c r="B18" s="6">
        <f t="shared" si="0"/>
        <v>2017</v>
      </c>
      <c r="C18" s="3">
        <v>0.37</v>
      </c>
    </row>
    <row r="19" spans="1:3" x14ac:dyDescent="0.25">
      <c r="A19" s="1">
        <v>42899</v>
      </c>
      <c r="B19" s="6">
        <f t="shared" si="0"/>
        <v>2017</v>
      </c>
      <c r="C19" s="3">
        <v>0.37</v>
      </c>
    </row>
    <row r="20" spans="1:3" x14ac:dyDescent="0.25">
      <c r="A20" s="1">
        <v>42807</v>
      </c>
      <c r="B20" s="6">
        <f t="shared" si="0"/>
        <v>2017</v>
      </c>
      <c r="C20" s="3">
        <v>0.37</v>
      </c>
    </row>
    <row r="21" spans="1:3" x14ac:dyDescent="0.25">
      <c r="A21" s="1">
        <v>42703</v>
      </c>
      <c r="B21" s="6">
        <f t="shared" si="0"/>
        <v>2016</v>
      </c>
      <c r="C21" s="3">
        <v>0.35</v>
      </c>
    </row>
    <row r="22" spans="1:3" x14ac:dyDescent="0.25">
      <c r="A22" s="1">
        <v>42626</v>
      </c>
      <c r="B22" s="6">
        <f t="shared" si="0"/>
        <v>2016</v>
      </c>
      <c r="C22" s="3">
        <v>0.35</v>
      </c>
    </row>
    <row r="23" spans="1:3" x14ac:dyDescent="0.25">
      <c r="A23" s="1">
        <v>42534</v>
      </c>
      <c r="B23" s="6">
        <f t="shared" si="0"/>
        <v>2016</v>
      </c>
      <c r="C23" s="3">
        <v>0.35</v>
      </c>
    </row>
    <row r="24" spans="1:3" x14ac:dyDescent="0.25">
      <c r="A24" s="1">
        <v>42440</v>
      </c>
      <c r="B24" s="6">
        <f t="shared" si="0"/>
        <v>2016</v>
      </c>
      <c r="C24" s="3">
        <v>0.35</v>
      </c>
    </row>
    <row r="25" spans="1:3" x14ac:dyDescent="0.25">
      <c r="A25" s="1">
        <v>42335</v>
      </c>
      <c r="B25" s="6">
        <f t="shared" si="0"/>
        <v>2015</v>
      </c>
      <c r="C25" s="3">
        <v>0.33</v>
      </c>
    </row>
    <row r="26" spans="1:3" x14ac:dyDescent="0.25">
      <c r="A26" s="1">
        <v>42258</v>
      </c>
      <c r="B26" s="6">
        <f t="shared" si="0"/>
        <v>2015</v>
      </c>
      <c r="C26" s="3">
        <v>0.33</v>
      </c>
    </row>
    <row r="27" spans="1:3" x14ac:dyDescent="0.25">
      <c r="A27" s="1">
        <v>42166</v>
      </c>
      <c r="B27" s="6">
        <f t="shared" si="0"/>
        <v>2015</v>
      </c>
      <c r="C27" s="3">
        <v>0.33</v>
      </c>
    </row>
    <row r="28" spans="1:3" x14ac:dyDescent="0.25">
      <c r="A28" s="1">
        <v>42075</v>
      </c>
      <c r="B28" s="6">
        <f t="shared" si="0"/>
        <v>2015</v>
      </c>
      <c r="C28" s="3">
        <v>0.33</v>
      </c>
    </row>
    <row r="32" spans="1:3" x14ac:dyDescent="0.25">
      <c r="A32" s="9" t="s">
        <v>4</v>
      </c>
    </row>
    <row r="33" spans="1:3" x14ac:dyDescent="0.25">
      <c r="A33" s="10" t="s">
        <v>1</v>
      </c>
      <c r="B33" s="11" t="s">
        <v>5</v>
      </c>
      <c r="C33" s="12" t="s">
        <v>6</v>
      </c>
    </row>
    <row r="34" spans="1:3" x14ac:dyDescent="0.25">
      <c r="A34" s="7" cm="1">
        <f t="array" ref="A34:A40">_xlfn._xlws.SORT(_xlfn.UNIQUE(B3:B28))</f>
        <v>2015</v>
      </c>
      <c r="B34" s="4">
        <f t="shared" ref="B34:B40" si="1">SUMIFS($C$3:$C$28, $B$3:$B$28, $A34)</f>
        <v>1.32</v>
      </c>
      <c r="C34"/>
    </row>
    <row r="35" spans="1:3" x14ac:dyDescent="0.25">
      <c r="A35" s="7">
        <v>2016</v>
      </c>
      <c r="B35" s="4">
        <f t="shared" si="1"/>
        <v>1.4</v>
      </c>
      <c r="C35" s="15">
        <f>(B35/B34)-1</f>
        <v>6.0606060606060552E-2</v>
      </c>
    </row>
    <row r="36" spans="1:3" x14ac:dyDescent="0.25">
      <c r="A36" s="7">
        <v>2017</v>
      </c>
      <c r="B36" s="4">
        <f t="shared" si="1"/>
        <v>1.48</v>
      </c>
      <c r="C36" s="15">
        <f t="shared" ref="C36:C40" si="2">(B36/B35)-1</f>
        <v>5.7142857142857162E-2</v>
      </c>
    </row>
    <row r="37" spans="1:3" x14ac:dyDescent="0.25">
      <c r="A37" s="7">
        <v>2018</v>
      </c>
      <c r="B37" s="4">
        <f t="shared" si="1"/>
        <v>1.56</v>
      </c>
      <c r="C37" s="15">
        <f t="shared" si="2"/>
        <v>5.4054054054054168E-2</v>
      </c>
    </row>
    <row r="38" spans="1:3" x14ac:dyDescent="0.25">
      <c r="A38" s="7">
        <v>2019</v>
      </c>
      <c r="B38" s="4">
        <f t="shared" si="1"/>
        <v>1.6</v>
      </c>
      <c r="C38" s="15">
        <f t="shared" si="2"/>
        <v>2.5641025641025772E-2</v>
      </c>
    </row>
    <row r="39" spans="1:3" x14ac:dyDescent="0.25">
      <c r="A39" s="7">
        <v>2020</v>
      </c>
      <c r="B39" s="4">
        <f t="shared" si="1"/>
        <v>1.64</v>
      </c>
      <c r="C39" s="15">
        <f t="shared" si="2"/>
        <v>2.4999999999999911E-2</v>
      </c>
    </row>
    <row r="40" spans="1:3" x14ac:dyDescent="0.25">
      <c r="A40" s="7">
        <v>2021</v>
      </c>
      <c r="B40" s="4">
        <f t="shared" si="1"/>
        <v>0.84</v>
      </c>
      <c r="C40" s="15">
        <f t="shared" si="2"/>
        <v>-0.48780487804878048</v>
      </c>
    </row>
    <row r="41" spans="1:3" x14ac:dyDescent="0.25">
      <c r="A41" s="7"/>
      <c r="B41" s="4"/>
      <c r="C41"/>
    </row>
    <row r="42" spans="1:3" x14ac:dyDescent="0.25">
      <c r="A42" s="7"/>
      <c r="B42" s="4"/>
      <c r="C42"/>
    </row>
    <row r="43" spans="1:3" x14ac:dyDescent="0.25">
      <c r="A43" s="7"/>
      <c r="B43" s="4"/>
      <c r="C43"/>
    </row>
  </sheetData>
  <mergeCells count="1">
    <mergeCell ref="A1:C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B634-0CBA-4C68-8210-368587E3BA63}">
  <dimension ref="A1:C7"/>
  <sheetViews>
    <sheetView workbookViewId="0">
      <selection activeCell="C26" sqref="C26"/>
    </sheetView>
  </sheetViews>
  <sheetFormatPr defaultRowHeight="15" x14ac:dyDescent="0.25"/>
  <cols>
    <col min="1" max="1" width="25.7109375" bestFit="1" customWidth="1"/>
    <col min="2" max="2" width="26.140625" bestFit="1" customWidth="1"/>
    <col min="3" max="3" width="82.5703125" bestFit="1" customWidth="1"/>
  </cols>
  <sheetData>
    <row r="1" spans="1:3" x14ac:dyDescent="0.25">
      <c r="A1" s="18" t="s">
        <v>7</v>
      </c>
      <c r="B1" s="18" t="s">
        <v>8</v>
      </c>
      <c r="C1" s="18" t="s">
        <v>15</v>
      </c>
    </row>
    <row r="2" spans="1:3" x14ac:dyDescent="0.25">
      <c r="A2" t="s">
        <v>9</v>
      </c>
      <c r="B2" cm="1">
        <f t="array" ref="B2">LOOKUP(2,1/('Raw Data'!B34:B50&gt;=1),'Raw Data'!B34:B50)</f>
        <v>1.64</v>
      </c>
      <c r="C2" t="s">
        <v>16</v>
      </c>
    </row>
    <row r="3" spans="1:3" x14ac:dyDescent="0.25">
      <c r="A3" t="s">
        <v>10</v>
      </c>
      <c r="B3" s="15">
        <v>0.04</v>
      </c>
      <c r="C3" t="s">
        <v>21</v>
      </c>
    </row>
    <row r="4" spans="1:3" x14ac:dyDescent="0.25">
      <c r="A4" t="s">
        <v>11</v>
      </c>
      <c r="B4" s="15">
        <f>B5 + B7 * B6</f>
        <v>7.0000000000000007E-2</v>
      </c>
      <c r="C4" t="s">
        <v>17</v>
      </c>
    </row>
    <row r="5" spans="1:3" x14ac:dyDescent="0.25">
      <c r="A5" t="s">
        <v>12</v>
      </c>
      <c r="B5" s="15">
        <v>0.04</v>
      </c>
      <c r="C5" t="s">
        <v>18</v>
      </c>
    </row>
    <row r="6" spans="1:3" x14ac:dyDescent="0.25">
      <c r="A6" t="s">
        <v>13</v>
      </c>
      <c r="B6" s="15">
        <v>0.05</v>
      </c>
      <c r="C6" t="s">
        <v>19</v>
      </c>
    </row>
    <row r="7" spans="1:3" x14ac:dyDescent="0.25">
      <c r="A7" t="s">
        <v>14</v>
      </c>
      <c r="B7">
        <v>0.6</v>
      </c>
      <c r="C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9459-9619-4E97-A952-5DB87E153ED4}">
  <dimension ref="A1:B16"/>
  <sheetViews>
    <sheetView workbookViewId="0">
      <selection activeCell="A13" sqref="A13"/>
    </sheetView>
  </sheetViews>
  <sheetFormatPr defaultRowHeight="15" x14ac:dyDescent="0.25"/>
  <cols>
    <col min="1" max="1" width="29.42578125" bestFit="1" customWidth="1"/>
    <col min="2" max="2" width="9.5703125" bestFit="1" customWidth="1"/>
  </cols>
  <sheetData>
    <row r="1" spans="1:2" x14ac:dyDescent="0.25">
      <c r="A1" s="18" t="s">
        <v>22</v>
      </c>
      <c r="B1" s="18" t="s">
        <v>8</v>
      </c>
    </row>
    <row r="2" spans="1:2" x14ac:dyDescent="0.25">
      <c r="A2" t="s">
        <v>23</v>
      </c>
      <c r="B2" s="16">
        <f>Assumptions!B2</f>
        <v>1.64</v>
      </c>
    </row>
    <row r="3" spans="1:2" x14ac:dyDescent="0.25">
      <c r="A3" t="s">
        <v>10</v>
      </c>
      <c r="B3" s="16">
        <f>Assumptions!B4</f>
        <v>7.0000000000000007E-2</v>
      </c>
    </row>
    <row r="4" spans="1:2" x14ac:dyDescent="0.25">
      <c r="A4" t="s">
        <v>11</v>
      </c>
      <c r="B4" s="14">
        <f>Assumptions!B5</f>
        <v>0.04</v>
      </c>
    </row>
    <row r="5" spans="1:2" x14ac:dyDescent="0.25">
      <c r="A5" t="s">
        <v>24</v>
      </c>
      <c r="B5" s="14">
        <f>B2*(1+B4)</f>
        <v>1.7056</v>
      </c>
    </row>
    <row r="6" spans="1:2" x14ac:dyDescent="0.25">
      <c r="A6" t="s">
        <v>25</v>
      </c>
      <c r="B6" s="17">
        <f>B5/(B3-B4)</f>
        <v>56.853333333333325</v>
      </c>
    </row>
    <row r="10" spans="1:2" ht="270" x14ac:dyDescent="0.25">
      <c r="A10" s="19" t="s">
        <v>26</v>
      </c>
    </row>
    <row r="13" spans="1:2" x14ac:dyDescent="0.25">
      <c r="A13" s="18"/>
    </row>
    <row r="14" spans="1:2" x14ac:dyDescent="0.25">
      <c r="A14" s="18"/>
    </row>
    <row r="16" spans="1:2" x14ac:dyDescent="0.25">
      <c r="A1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Assumptions</vt:lpstr>
      <vt:lpstr>Valuations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Chotzen-Jenner</dc:creator>
  <cp:lastModifiedBy>Aaron Chotzen-Jenner</cp:lastModifiedBy>
  <dcterms:created xsi:type="dcterms:W3CDTF">2026-01-09T03:57:23Z</dcterms:created>
  <dcterms:modified xsi:type="dcterms:W3CDTF">2026-01-15T03:30:35Z</dcterms:modified>
</cp:coreProperties>
</file>